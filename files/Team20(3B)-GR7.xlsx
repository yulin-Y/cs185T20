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ividual Heuristic Evaluation" sheetId="1" r:id="rId5"/>
    <sheet state="visible" name="Summary" sheetId="2" r:id="rId6"/>
  </sheets>
  <definedNames>
    <definedName hidden="1" localSheetId="0" name="Z_627688DF_5323_4728_A033_1442C3A4CB16_.wvu.FilterData">'Individual Heuristic Evaluation'!$A$9:$G$66</definedName>
    <definedName hidden="1" localSheetId="0" name="Z_A184C337_5012_460E_86A2_9BDB5CCEF3DC_.wvu.FilterData">'Individual Heuristic Evaluation'!$A$9:$G$66</definedName>
    <definedName hidden="1" localSheetId="0" name="Z_3D9B97E6_2BE8_4749_9DBC_3438722682DF_.wvu.FilterData">'Individual Heuristic Evaluation'!$A$9:$G$66</definedName>
  </definedNames>
  <calcPr/>
  <customWorkbookViews>
    <customWorkbookView activeSheetId="0" maximized="1" windowHeight="0" windowWidth="0" guid="{A184C337-5012-460E-86A2-9BDB5CCEF3DC}" name="Group by Heuristic"/>
    <customWorkbookView activeSheetId="0" maximized="1" windowHeight="0" windowWidth="0" guid="{627688DF-5323-4728-A033-1442C3A4CB16}" name="Group by Task "/>
    <customWorkbookView activeSheetId="0" maximized="1" windowHeight="0" windowWidth="0" guid="{3D9B97E6-2BE8-4749-9DBC-3438722682DF}" name="Group by Task"/>
  </customWorkbookViews>
</workbook>
</file>

<file path=xl/sharedStrings.xml><?xml version="1.0" encoding="utf-8"?>
<sst xmlns="http://schemas.openxmlformats.org/spreadsheetml/2006/main" count="166" uniqueCount="116">
  <si>
    <t>One sentence description</t>
  </si>
  <si>
    <t>3B is a mobile app that aims to help indoor climbers who are struggling with a climbing route by quickly finding useful betas, receiving AI-guided coaching by uploading their recorded attempt, and comparing their betas with other climbers.</t>
  </si>
  <si>
    <t>Simple Task</t>
  </si>
  <si>
    <t>Find betas for a specific route in a gym</t>
  </si>
  <si>
    <t>Moderate Task</t>
  </si>
  <si>
    <t>Upload own attempt to receive AI guidance and feedback</t>
  </si>
  <si>
    <t>Complex Task</t>
  </si>
  <si>
    <t>Compare own beta with other climbers' and receive personalized tips</t>
  </si>
  <si>
    <t>*attach images here in the description column if helpful</t>
  </si>
  <si>
    <t>Problem #</t>
  </si>
  <si>
    <t>Heuristic</t>
  </si>
  <si>
    <t>Task</t>
  </si>
  <si>
    <t>Severity</t>
  </si>
  <si>
    <t>Description</t>
  </si>
  <si>
    <t>Rationale</t>
  </si>
  <si>
    <t>Fix</t>
  </si>
  <si>
    <t>H1: Visibility of System Status</t>
  </si>
  <si>
    <t>2. Moderate Task</t>
  </si>
  <si>
    <t>The label "AI is analyzing your video..." is vague and does not inform users of the specific steps being performed during processing.</t>
  </si>
  <si>
    <t>Without specific status updates, users can be left wondering what "analyzing" entails and whether the system is progressing through distinct steps, which can cause confusion about what the system is doing.</t>
  </si>
  <si>
    <t>Include detailed, step-by-step status updates below the progress bar to provide more informative feedback and reassure users that the system is actively working on their upload.</t>
  </si>
  <si>
    <t>H2: Match b/w System &amp; World</t>
  </si>
  <si>
    <t>5. Extra Violations</t>
  </si>
  <si>
    <t>Under Detailed Tips in the page where you present the route's information, climber jargons like "overhang" and "dynamic moves" are used.</t>
  </si>
  <si>
    <t>Newer climbers may not understand these terms as they are not yet familiar with climbing terms, which may disrupt their comprehension. The tips may thus be less useful than intended.</t>
  </si>
  <si>
    <t>Include links to websites that explain these terms. An alternative would be to have a chatbox-like widget that appears when those words are tapped, explaining what they mean.</t>
  </si>
  <si>
    <t>1. Simple Task</t>
  </si>
  <si>
    <t>Route categories are presented in the order: My Routes, Top Rated,  All Routes, which may not be the conventional order.</t>
  </si>
  <si>
    <t>Users would be presented with an empty list upon tapping into a gym when they first use the app since they wouldn't have saved any routes yet. This could disrupt their comprehension and navigation flow.</t>
  </si>
  <si>
    <t>Reorder the categories as: All Routes, Top Rated, My Routes.</t>
  </si>
  <si>
    <t>H3: User Control &amp; Freedom</t>
  </si>
  <si>
    <t>When watching a beta, clicking on the back button brings users back to the route's info tab instead of the videos tab.</t>
  </si>
  <si>
    <t>Users would want to go back and choose another beta to watch, but making them go through additional, unnecessary steps would make the experience tedious and annoying.</t>
  </si>
  <si>
    <t>Link the back button to the videos tab.</t>
  </si>
  <si>
    <t xml:space="preserve">Tapping on the back button on the AI analysis page does not allow users to go back to the generated AI analysis for their uploaded betas. </t>
  </si>
  <si>
    <t>Users may accidentally exit the page and want to return to the AI coach, but they would have to reupload their betas and wait for the AI-generated content again. This could make the experience annoying for users.</t>
  </si>
  <si>
    <t>Add a button that allows users to return to the AI analysis page if they had accidentally exited to the beta upload page.</t>
  </si>
  <si>
    <t>H4: Consistency &amp; Standards</t>
  </si>
  <si>
    <t>Under "My Gyms" in the home page, there is not a heart icon next to the Vertical Edge gym.</t>
  </si>
  <si>
    <t>The first 2 gyms under "My Gyms" has a heart icon, while Vertical Edge does not. This could lead to confusion as users question if the heart means something else other than a gym they have saved.</t>
  </si>
  <si>
    <t>Add a heart icon to Vertical Edge as well.</t>
  </si>
  <si>
    <t>Advice under "Detailed Coaching" was color coded with green.</t>
  </si>
  <si>
    <t>Good comments under "AI analysis" were also color coded with green, indicating that users did well. Using the same color could confuse users when they first see it, thinking that no change is needed.</t>
  </si>
  <si>
    <t>Use yellow instead of green to indicate the need for improvement.</t>
  </si>
  <si>
    <t>3. Complex Task</t>
  </si>
  <si>
    <t>User's video and Mike's video don't fill page's width.</t>
  </si>
  <si>
    <t>The current design can make the app feel incomplete and unprofessional. This could disrupt the natural flow of user navigation.</t>
  </si>
  <si>
    <t>Increase width of both vieos so that they fill the page's width.</t>
  </si>
  <si>
    <t>Different colors for different personalized tips on profile page, but no obvious categorization.</t>
  </si>
  <si>
    <t>The personalized tips does not seem to have any difference between them in terms of category. Unless they were organized by severity, the red should probably come first. The different colors lead to the assumption that they mean different things otherwise.</t>
  </si>
  <si>
    <t>If no specific categorization was intended, use green only. If they were organized by severity or urgency, list red tips at the top, followed by green then grey.</t>
  </si>
  <si>
    <t>You indicate that there are groupings like "My Gyms" and "My Routes" but there is no method of adding gyms and routes to these categories.</t>
  </si>
  <si>
    <t>Users would want to quickly access their most frequented gyms or routes. Having that presentation but not providing a way of doing so may confuse users.</t>
  </si>
  <si>
    <t>Add a heart/save button to the gyms and their routes.</t>
  </si>
  <si>
    <t>In the route information page, the widgets presenting the route in each category holds different information.</t>
  </si>
  <si>
    <t>There is too much variety in the way the route is presented in these widgets. This inconsistency makes the app seem unprofessional and could disrupt the user's understanding and navigation flow.</t>
  </si>
  <si>
    <t>The widgets in All Routes should present the routes as in Top Rated. The presentation of My Routes' widgets makes sense and does not need change.</t>
  </si>
  <si>
    <t>In the route information page, "Top Rated" and "My Routes" have a communicative symbol to their left, but "All Routes" does not.</t>
  </si>
  <si>
    <t>This inconsistency makes the app seem incomplete and unprofessional, possibly deteriorating users' trust in the app.</t>
  </si>
  <si>
    <t>Add a suitable symbol that communicates "All Routes" to the left of it, like the other titles.</t>
  </si>
  <si>
    <t>H5: Error Prevention</t>
  </si>
  <si>
    <t>Users have to generate the AI feedback all over again after exiting the AI-generated feedback page.</t>
  </si>
  <si>
    <t>Users may accidentally exit the page. It would be annoying if they would have to wait for the AI feedback to generate again. The feedback could even be different from what was generated before.</t>
  </si>
  <si>
    <t>Confirm with the user if they had intended to exit.</t>
  </si>
  <si>
    <t>H6: Recognition not Recall</t>
  </si>
  <si>
    <t>Detailed tips for the route are presented in the route information page, which is not the time where users are looking for detailed tips.</t>
  </si>
  <si>
    <t>Users would likely want to view detailed tips when they ask for help, which is when they upload their beta to receive AI-coaching. Users would probably want to read the detailed tips when they are struggling. Placing them in the route details page means users have to remember this information.</t>
  </si>
  <si>
    <t>Present detailed tips as its own section in the AI-coaching page.</t>
  </si>
  <si>
    <t>There is no indication of which gym was selected after clicking on a gym.</t>
  </si>
  <si>
    <t>Users could be uncertain or forgot which gym they selected since each gym's page looks the same. This would especially be a problem if a user had intended to click on a specific gym, but had misclicked another instead, leading to confusion when searching for a route.</t>
  </si>
  <si>
    <t>Add the gym's name at the top of the gym's page, making it obvious which gym they are looking at.</t>
  </si>
  <si>
    <t>Every uploaded beta is named by the route. Uploading different betas for the same route would thus make them indistinguishable by name.</t>
  </si>
  <si>
    <t>Users might forget which attempt the uploaded beta was for, and this may potentially lead to confusion or re-uploads if the wrong video was selected.</t>
  </si>
  <si>
    <t>Number the uploaded betas for each route, making them distinguishable from each other. For example, Red Wall - Attempt 1, Red Wall - Attempt 2.</t>
  </si>
  <si>
    <t>H7: Flexibility &amp; Efficiency of Use</t>
  </si>
  <si>
    <t>After exiting the AI analysis page, users would have to reupload their videos to view the feedback again. There is no way to view this generated content again.</t>
  </si>
  <si>
    <t>Users would want to return and review this information while resting in between climbs. If this information is not saved, users would have to redo the entire moderate task to view the AI guidance again.</t>
  </si>
  <si>
    <t>Provide a direct and straightforward way users can view this AI-generated feedback whenever they want to. You could place it in the Profile page or a new page altogether to make this feature more easily accessible.</t>
  </si>
  <si>
    <t>Users currently have to find the gym, then find the route before they can upload their betas.</t>
  </si>
  <si>
    <t>Frequent users may prefer a more efficient approach given the AI-coaching function is the main point of the app. Having to go through so many steps to receive help may deter users from using the feature.</t>
  </si>
  <si>
    <t>Add a navigation bar, with a plus symbol at the center that navigates you directly to the page that uploads a video.</t>
  </si>
  <si>
    <t>4. All Tasks</t>
  </si>
  <si>
    <t>The app does not have any shortcuts or gestures for quick navigation, such as swiping to go back or shortcuts to access frequently used sections.</t>
  </si>
  <si>
    <t>Experienced users may prefer shortcuts in order to navigate through the app faster. Ultimately, the absence of these options can slow down their interaction with the app.</t>
  </si>
  <si>
    <t>Implement shortcuts and gesture support like swiping to go back in order to improve navigation efficiency.</t>
  </si>
  <si>
    <t>Indirect navigation throughout app without navigation bar.</t>
  </si>
  <si>
    <t>Users have to keep clicking on the back button to get from certain pages to the other, making the process slow and tedious. This may annoy users and deter them from using the app.</t>
  </si>
  <si>
    <t>Add a navigation bar consisting of the choices: Home, Upload, Profile.</t>
  </si>
  <si>
    <t>Routes are not categorized by type nor grade, which are more relevant ways to categorize them.</t>
  </si>
  <si>
    <t>Users may want to find only bouldering routes or top rope routes. Providing these categories would improve their navigation speed as they can quickly browse through a shorter list.</t>
  </si>
  <si>
    <t>Implement a filter for the routes, allowing users to filter by type and by grade.</t>
  </si>
  <si>
    <t>Users have to click on the '+' sign to expand the route description.</t>
  </si>
  <si>
    <t>Enlarging the area where users can tap could improve navigation efficiency and the user's overall experience.</t>
  </si>
  <si>
    <t>Allow users to toggle expansion by tapping on the Description widget as well.</t>
  </si>
  <si>
    <t>H8: Aesthetic &amp; Minimalist Design</t>
  </si>
  <si>
    <t>Repetitve display of information on the route's info page (number of videos and rating of the route).</t>
  </si>
  <si>
    <t>The widgets used to present those information could be mistaken as action buttons. Presenting these information twice on the same page seems redundant and could lead to slight confusion.</t>
  </si>
  <si>
    <t>Attach number of attempts next to "V5 Boulder". For example, it could be presented as "V5 Boulder • 42 Attempts". Remove the three widgets presenting the number of attempts, number of videos and rating.</t>
  </si>
  <si>
    <t>Last visit status competes with ratings for space in the gym's tag under home page.</t>
  </si>
  <si>
    <t>Too much information in that small amount of space could be distracting and perhaps unnecessary.</t>
  </si>
  <si>
    <t>Given that these are their frequented gyms, perhaps keep only the last visit status in the tag as it is more relevant to users, removing the ratings.</t>
  </si>
  <si>
    <t>H10: Help &amp; Documentation</t>
  </si>
  <si>
    <t>While the steps to compare the user's beta with other climber's beta are clear, it would be helpful to start with an overview screen that outlines the process and what to expect.</t>
  </si>
  <si>
    <t>Including a general overview before users begin would give them a better sense of the steps involved. This can make the process overall feel more manageable and reduce potential confusion.</t>
  </si>
  <si>
    <t>Add introductory widgets (chatbox-like) that briefly explains each step in uploading their own betas to compare with others.</t>
  </si>
  <si>
    <t>The prototype does not introduce the app well, leaving users to explore the app in order to discover the features it offers.</t>
  </si>
  <si>
    <t>Users have to explore the app to discover the features the app offers. Providing a quick overview of key features would improve user's experience as they know what to expect and where they might find them.</t>
  </si>
  <si>
    <t>Add an introductory page or a hero widget that briefly introduces the AI coaching feature and beta comparison features.</t>
  </si>
  <si>
    <t>While the personalized tips are directly accessible on the profile page, users may not know it was generated after uploading their betas</t>
  </si>
  <si>
    <t>Users currently have to explore the app to discover the personalized tips. Not informing the users of this feature may make it go unnoticed.</t>
  </si>
  <si>
    <t>Direct users to the personalized tips section after exiting the AI comparison and AI analysis page (moderate and complex tasks).</t>
  </si>
  <si>
    <t># Violations</t>
  </si>
  <si>
    <t>Overall Recommendations</t>
  </si>
  <si>
    <t xml:space="preserve">                I was really impressed upon seeing the interface. There is a really strong brand identity built with the colors, font, and overall design you chose. The design is very clean and professional, only requring some improvements to make it even better. I can see great potential in this AI-driven app, allowing climbers to receive personalized coaching based on the videos they have uploaded. I think users would really be excited if this app were released. On the design note, you've used colors to effectively communicate certain messages, such as using red when improvements are needed, and green when the users did well. I think this balance works well in helping users maintain a level of confidence as it doesn't only highlight their flaws, but also celebrate their wins. In line with this, the beta comparison page presents the case where another climber might be much more skilled than the user. Presenting the information in this way may slightly bring down their confidence. I would suggest highlighting the points of improvment rather than the comparision of who did what better. This was a suggestion I had that couldn't really fit in the provided heuristics. Besides that, I think the features you have are novel and relevant to climbers. However, without any introduction, users would be left to discover these interesting features on their own. I think that providing a little introduction or bite-sized guidance could improve the usage of these features as users know what they can do.   
               According to my evaluation, there seems to be a need to work on consistency issues (H4: Consistency &amp; Standards) as well as efficiency issues (H7: Flexibility &amp; Efficiency of Use). Primarily, I noticed that while the tasks are straightforward and easy to learn, navigation to and fro various components and pages feel very restricted. Users are sometimes forced to go through numerous steps just to reach back to the point they were at. Improving the consistency issues I mentioned in my evaluation would make the app feel more complete and professional overall, so I would also suggest focusing on that first. Further, I noticed that you removed the navigation bar from your sketches, but I actually think they would be good to maintain in your design, allowing users to quickly navigate between pages, especially where you expect users to frequently visit. The profile button on the top right corner is good, but only relying on the logo to navigate back to the home page, and back buttons to every other page, may be pretty minimal. Some extra navigation options could make the experience more intuitive and faster for users. Additionally, I think the way you timestamp and present the AI-generated coaching was very thoughtful and well-designed. Users can directly map those comments to the movements they made, making changes accordingly. A minor suggestion here is to allow users to click on those timestamped advices, and directly bring them to the corresponding point in the video. I think addressing these issues could bring the user experience to the next level, effecitvely conveying the excitement as brought out by the vibrant green you chose as the app's primary color. Overall, the app is very well-designed, and I'm excited to see your final product!
</t>
  </si>
  <si>
    <t>H9: Help Users with Errors</t>
  </si>
  <si>
    <t>Total Violations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</si>
</sst>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i/>
      <color theme="1"/>
      <name val="Arial"/>
      <scheme val="minor"/>
    </font>
    <font>
      <color theme="1"/>
      <name val="Arial"/>
      <scheme val="minor"/>
    </font>
    <font/>
    <font>
      <color theme="1"/>
      <name val="Google Sans Mono"/>
    </font>
    <font>
      <i/>
      <color theme="1"/>
      <name val="Arial"/>
    </font>
    <font>
      <sz val="9.0"/>
      <color rgb="FF000000"/>
      <name val="Google Sans Mono"/>
    </font>
  </fonts>
  <fills count="5">
    <fill>
      <patternFill patternType="none"/>
    </fill>
    <fill>
      <patternFill patternType="lightGray"/>
    </fill>
    <fill>
      <patternFill patternType="solid">
        <fgColor rgb="FFF3F3F3"/>
        <bgColor rgb="FFF3F3F3"/>
      </patternFill>
    </fill>
    <fill>
      <patternFill patternType="solid">
        <fgColor rgb="FFEFEFEF"/>
        <bgColor rgb="FFEFEFEF"/>
      </patternFill>
    </fill>
    <fill>
      <patternFill patternType="solid">
        <fgColor rgb="FFFFFFFF"/>
        <bgColor rgb="FFFFFFFF"/>
      </patternFill>
    </fill>
  </fills>
  <borders count="9">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readingOrder="0" shrinkToFit="0" wrapText="1"/>
    </xf>
    <xf borderId="0" fillId="0" fontId="3" numFmtId="0" xfId="0" applyAlignment="1" applyFont="1">
      <alignment horizontal="left" readingOrder="0" shrinkToFit="0" wrapText="1"/>
    </xf>
    <xf borderId="0" fillId="2" fontId="1" numFmtId="0" xfId="0" applyAlignment="1" applyFill="1" applyFont="1">
      <alignment horizontal="left" readingOrder="0" shrinkToFit="0" wrapText="1"/>
    </xf>
    <xf borderId="0" fillId="0" fontId="3" numFmtId="0" xfId="0" applyAlignment="1" applyFont="1">
      <alignment readingOrder="0"/>
    </xf>
    <xf borderId="0" fillId="2" fontId="1" numFmtId="0" xfId="0" applyAlignment="1" applyFont="1">
      <alignment horizontal="left" readingOrder="0" shrinkToFit="0" vertical="top" wrapText="1"/>
    </xf>
    <xf borderId="0" fillId="0" fontId="3" numFmtId="0" xfId="0" applyFont="1"/>
    <xf borderId="0" fillId="0" fontId="3" numFmtId="0" xfId="0" applyAlignment="1" applyFont="1">
      <alignment horizontal="left" readingOrder="0" shrinkToFit="0" vertical="center" wrapText="1"/>
    </xf>
    <xf borderId="0" fillId="0" fontId="3" numFmtId="49" xfId="0" applyAlignment="1" applyFont="1" applyNumberFormat="1">
      <alignment horizontal="left" readingOrder="0" shrinkToFit="0" vertical="center" wrapText="0"/>
    </xf>
    <xf borderId="0" fillId="0" fontId="3" numFmtId="49" xfId="0" applyAlignment="1" applyFont="1" applyNumberFormat="1">
      <alignment horizontal="left" readingOrder="0" shrinkToFit="0" vertical="center" wrapText="0"/>
    </xf>
    <xf borderId="0" fillId="0" fontId="3" numFmtId="0" xfId="0" applyAlignment="1" applyFont="1">
      <alignment horizontal="left" readingOrder="0" shrinkToFit="0" vertical="top"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49" xfId="0" applyAlignment="1" applyFont="1" applyNumberFormat="1">
      <alignment readingOrder="0" shrinkToFit="0" vertical="top" wrapText="1"/>
    </xf>
    <xf borderId="0" fillId="0" fontId="3" numFmtId="0" xfId="0" applyAlignment="1" applyFont="1">
      <alignment readingOrder="0" shrinkToFit="0" vertical="top" wrapText="1"/>
    </xf>
    <xf borderId="0" fillId="0" fontId="3" numFmtId="49" xfId="0" applyAlignment="1" applyFont="1" applyNumberFormat="1">
      <alignment readingOrder="0" shrinkToFit="0" vertical="center" wrapText="1"/>
    </xf>
    <xf borderId="0" fillId="0" fontId="3" numFmtId="49" xfId="0" applyAlignment="1" applyFont="1" applyNumberForma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center" wrapText="0"/>
    </xf>
    <xf borderId="0" fillId="0" fontId="3" numFmtId="0" xfId="0" applyAlignment="1" applyFont="1">
      <alignment shrinkToFit="0" vertical="center" wrapText="0"/>
    </xf>
    <xf borderId="0" fillId="0" fontId="3" numFmtId="0" xfId="0" applyAlignment="1" applyFont="1">
      <alignment readingOrder="0" shrinkToFit="0" vertical="center" wrapText="1"/>
    </xf>
    <xf borderId="0" fillId="0" fontId="3" numFmtId="49" xfId="0" applyAlignment="1" applyFont="1" applyNumberFormat="1">
      <alignment shrinkToFit="0" vertical="center" wrapText="0"/>
    </xf>
    <xf borderId="0" fillId="0" fontId="3" numFmtId="0" xfId="0" applyAlignment="1" applyFont="1">
      <alignment shrinkToFit="0" vertical="center" wrapText="1"/>
    </xf>
    <xf borderId="0" fillId="0" fontId="3" numFmtId="0" xfId="0" applyAlignment="1" applyFont="1">
      <alignment shrinkToFit="0" vertical="center" wrapText="0"/>
    </xf>
    <xf borderId="1" fillId="3" fontId="1" numFmtId="0" xfId="0" applyAlignment="1" applyBorder="1" applyFill="1" applyFont="1">
      <alignment readingOrder="0"/>
    </xf>
    <xf borderId="2" fillId="3" fontId="1" numFmtId="0" xfId="0" applyAlignment="1" applyBorder="1" applyFont="1">
      <alignment readingOrder="0"/>
    </xf>
    <xf borderId="3" fillId="0" fontId="4" numFmtId="0" xfId="0" applyBorder="1" applyFont="1"/>
    <xf borderId="2" fillId="0" fontId="4" numFmtId="0" xfId="0" applyBorder="1" applyFont="1"/>
    <xf borderId="4" fillId="0" fontId="0" numFmtId="0" xfId="0" applyAlignment="1" applyBorder="1" applyFont="1">
      <alignment readingOrder="0"/>
    </xf>
    <xf borderId="5" fillId="0" fontId="5" numFmtId="0" xfId="0" applyBorder="1" applyFont="1"/>
    <xf borderId="4" fillId="0" fontId="6" numFmtId="0" xfId="0" applyAlignment="1" applyBorder="1" applyFont="1">
      <alignment readingOrder="0" shrinkToFit="0" vertical="top" wrapText="1"/>
    </xf>
    <xf borderId="5" fillId="0" fontId="4" numFmtId="0" xfId="0" applyBorder="1" applyFont="1"/>
    <xf borderId="4" fillId="0" fontId="0" numFmtId="0" xfId="0" applyAlignment="1" applyBorder="1" applyFont="1">
      <alignment horizontal="left" readingOrder="0" shrinkToFit="0" wrapText="1"/>
    </xf>
    <xf borderId="5" fillId="4" fontId="7" numFmtId="0" xfId="0" applyBorder="1" applyFill="1" applyFont="1"/>
    <xf borderId="4" fillId="0" fontId="4" numFmtId="0" xfId="0" applyBorder="1" applyFont="1"/>
    <xf borderId="6" fillId="0" fontId="1" numFmtId="0" xfId="0" applyAlignment="1" applyBorder="1" applyFont="1">
      <alignment readingOrder="0" vertical="top"/>
    </xf>
    <xf borderId="7" fillId="0" fontId="5" numFmtId="0" xfId="0" applyAlignment="1" applyBorder="1" applyFont="1">
      <alignment vertical="top"/>
    </xf>
    <xf borderId="6" fillId="0" fontId="4" numFmtId="0" xfId="0" applyBorder="1" applyFont="1"/>
    <xf borderId="8" fillId="0" fontId="4" numFmtId="0" xfId="0" applyBorder="1" applyFont="1"/>
    <xf borderId="7" fillId="0" fontId="4" numFmtId="0" xfId="0" applyBorder="1"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s>
  <tableStyles count="1">
    <tableStyle count="4" pivot="0" name="Individual Heuristic Evaluation-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xdr:colOff>
      <xdr:row>19</xdr:row>
      <xdr:rowOff>885825</xdr:rowOff>
    </xdr:from>
    <xdr:ext cx="1600200" cy="657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57150</xdr:colOff>
      <xdr:row>19</xdr:row>
      <xdr:rowOff>1657350</xdr:rowOff>
    </xdr:from>
    <xdr:ext cx="1600200" cy="58102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57150</xdr:colOff>
      <xdr:row>19</xdr:row>
      <xdr:rowOff>2305050</xdr:rowOff>
    </xdr:from>
    <xdr:ext cx="1600200" cy="58102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G66" displayName="Individual_Heuristic_Evaluations" name="Individual_Heuristic_Evaluations" id="1">
  <tableColumns count="7">
    <tableColumn name="Problem #" id="1"/>
    <tableColumn name="Heuristic" id="2"/>
    <tableColumn name="Task" id="3"/>
    <tableColumn name="Severity" id="4"/>
    <tableColumn name="Description" id="5"/>
    <tableColumn name="Rationale" id="6"/>
    <tableColumn name="Fix" id="7"/>
  </tableColumns>
  <tableStyleInfo name="Individual Heuristic Evaluati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9.0" topLeftCell="A10" activePane="bottomLeft" state="frozen"/>
      <selection activeCell="B11" sqref="B11" pane="bottomLeft"/>
    </sheetView>
  </sheetViews>
  <sheetFormatPr customHeight="1" defaultColWidth="12.63" defaultRowHeight="15.75"/>
  <cols>
    <col customWidth="1" min="1" max="1" width="31.5"/>
    <col customWidth="1" min="2" max="2" width="30.13"/>
    <col customWidth="1" min="3" max="10" width="22.63"/>
    <col customWidth="1" min="11" max="11" width="15.13"/>
  </cols>
  <sheetData>
    <row r="1" ht="30.75" customHeight="1">
      <c r="A1" s="1" t="s">
        <v>0</v>
      </c>
      <c r="B1" s="2" t="s">
        <v>1</v>
      </c>
      <c r="F1" s="3"/>
      <c r="G1" s="3"/>
    </row>
    <row r="2">
      <c r="A2" s="3"/>
      <c r="B2" s="3"/>
      <c r="C2" s="3"/>
      <c r="D2" s="3"/>
      <c r="E2" s="3"/>
      <c r="F2" s="3"/>
      <c r="G2" s="3"/>
    </row>
    <row r="3">
      <c r="A3" s="4" t="s">
        <v>2</v>
      </c>
      <c r="B3" s="5" t="s">
        <v>3</v>
      </c>
      <c r="C3" s="2"/>
      <c r="D3" s="2"/>
      <c r="E3" s="2"/>
      <c r="F3" s="3"/>
      <c r="G3" s="3"/>
    </row>
    <row r="4">
      <c r="A4" s="4" t="s">
        <v>4</v>
      </c>
      <c r="B4" s="5" t="s">
        <v>5</v>
      </c>
      <c r="C4" s="2"/>
      <c r="D4" s="2"/>
      <c r="E4" s="2"/>
      <c r="F4" s="3"/>
      <c r="G4" s="3"/>
    </row>
    <row r="5">
      <c r="A5" s="6" t="s">
        <v>6</v>
      </c>
      <c r="B5" s="5" t="s">
        <v>7</v>
      </c>
      <c r="C5" s="2"/>
      <c r="D5" s="2"/>
      <c r="E5" s="2"/>
      <c r="F5" s="3"/>
      <c r="G5" s="3"/>
    </row>
    <row r="6">
      <c r="A6" s="3"/>
      <c r="B6" s="3"/>
      <c r="C6" s="3"/>
      <c r="D6" s="3"/>
      <c r="E6" s="3"/>
      <c r="F6" s="3"/>
      <c r="G6" s="3"/>
    </row>
    <row r="7">
      <c r="A7" s="3"/>
      <c r="B7" s="3"/>
      <c r="C7" s="7"/>
      <c r="D7" s="3"/>
      <c r="E7" s="3"/>
      <c r="F7" s="3"/>
      <c r="G7" s="3"/>
    </row>
    <row r="8">
      <c r="A8" s="3"/>
      <c r="B8" s="3"/>
      <c r="C8" s="7"/>
      <c r="D8" s="7"/>
      <c r="E8" s="2" t="s">
        <v>8</v>
      </c>
      <c r="F8" s="3"/>
      <c r="G8" s="3"/>
    </row>
    <row r="9" ht="22.5" customHeight="1">
      <c r="A9" s="8" t="s">
        <v>9</v>
      </c>
      <c r="B9" s="9" t="s">
        <v>10</v>
      </c>
      <c r="C9" s="10" t="s">
        <v>11</v>
      </c>
      <c r="D9" s="10" t="s">
        <v>12</v>
      </c>
      <c r="E9" s="8" t="s">
        <v>13</v>
      </c>
      <c r="F9" s="8" t="s">
        <v>14</v>
      </c>
      <c r="G9" s="8" t="s">
        <v>15</v>
      </c>
    </row>
    <row r="10" ht="22.5" customHeight="1">
      <c r="A10" s="11">
        <v>1.0</v>
      </c>
      <c r="B10" s="12" t="s">
        <v>16</v>
      </c>
      <c r="C10" s="13" t="s">
        <v>17</v>
      </c>
      <c r="D10" s="13">
        <v>2.0</v>
      </c>
      <c r="E10" s="14" t="s">
        <v>18</v>
      </c>
      <c r="F10" s="15" t="s">
        <v>19</v>
      </c>
      <c r="G10" s="15" t="s">
        <v>20</v>
      </c>
    </row>
    <row r="11" ht="22.5" customHeight="1">
      <c r="A11" s="11">
        <v>2.0</v>
      </c>
      <c r="B11" s="12" t="s">
        <v>21</v>
      </c>
      <c r="C11" s="13" t="s">
        <v>22</v>
      </c>
      <c r="D11" s="13">
        <v>2.0</v>
      </c>
      <c r="E11" s="16" t="s">
        <v>23</v>
      </c>
      <c r="F11" s="15" t="s">
        <v>24</v>
      </c>
      <c r="G11" s="15" t="s">
        <v>25</v>
      </c>
    </row>
    <row r="12" ht="22.5" customHeight="1">
      <c r="A12" s="11">
        <v>3.0</v>
      </c>
      <c r="B12" s="12" t="s">
        <v>21</v>
      </c>
      <c r="C12" s="13" t="s">
        <v>26</v>
      </c>
      <c r="D12" s="13">
        <v>2.0</v>
      </c>
      <c r="E12" s="14" t="s">
        <v>27</v>
      </c>
      <c r="F12" s="15" t="s">
        <v>28</v>
      </c>
      <c r="G12" s="15" t="s">
        <v>29</v>
      </c>
    </row>
    <row r="13" ht="22.5" customHeight="1">
      <c r="A13" s="11">
        <v>4.0</v>
      </c>
      <c r="B13" s="12" t="s">
        <v>30</v>
      </c>
      <c r="C13" s="13" t="s">
        <v>26</v>
      </c>
      <c r="D13" s="13">
        <v>3.0</v>
      </c>
      <c r="E13" s="14" t="s">
        <v>31</v>
      </c>
      <c r="F13" s="15" t="s">
        <v>32</v>
      </c>
      <c r="G13" s="15" t="s">
        <v>33</v>
      </c>
    </row>
    <row r="14" ht="22.5" customHeight="1">
      <c r="A14" s="11">
        <v>5.0</v>
      </c>
      <c r="B14" s="12" t="s">
        <v>30</v>
      </c>
      <c r="C14" s="13" t="s">
        <v>17</v>
      </c>
      <c r="D14" s="13">
        <v>2.0</v>
      </c>
      <c r="E14" s="14" t="s">
        <v>34</v>
      </c>
      <c r="F14" s="15" t="s">
        <v>35</v>
      </c>
      <c r="G14" s="15" t="s">
        <v>36</v>
      </c>
    </row>
    <row r="15" ht="22.5" customHeight="1">
      <c r="A15" s="11">
        <v>6.0</v>
      </c>
      <c r="B15" s="12" t="s">
        <v>37</v>
      </c>
      <c r="C15" s="13" t="s">
        <v>26</v>
      </c>
      <c r="D15" s="13">
        <v>2.0</v>
      </c>
      <c r="E15" s="14" t="s">
        <v>38</v>
      </c>
      <c r="F15" s="15" t="s">
        <v>39</v>
      </c>
      <c r="G15" s="15" t="s">
        <v>40</v>
      </c>
    </row>
    <row r="16" ht="22.5" customHeight="1">
      <c r="A16" s="11">
        <v>7.0</v>
      </c>
      <c r="B16" s="12" t="s">
        <v>37</v>
      </c>
      <c r="C16" s="13" t="s">
        <v>17</v>
      </c>
      <c r="D16" s="13">
        <v>2.0</v>
      </c>
      <c r="E16" s="17" t="s">
        <v>41</v>
      </c>
      <c r="F16" s="15" t="s">
        <v>42</v>
      </c>
      <c r="G16" s="15" t="s">
        <v>43</v>
      </c>
    </row>
    <row r="17" ht="22.5" customHeight="1">
      <c r="A17" s="11">
        <v>8.0</v>
      </c>
      <c r="B17" s="12" t="s">
        <v>37</v>
      </c>
      <c r="C17" s="13" t="s">
        <v>44</v>
      </c>
      <c r="D17" s="13">
        <v>3.0</v>
      </c>
      <c r="E17" s="17" t="s">
        <v>45</v>
      </c>
      <c r="F17" s="18" t="s">
        <v>46</v>
      </c>
      <c r="G17" s="18" t="s">
        <v>47</v>
      </c>
    </row>
    <row r="18" ht="22.5" customHeight="1">
      <c r="A18" s="11">
        <v>9.0</v>
      </c>
      <c r="B18" s="12" t="s">
        <v>37</v>
      </c>
      <c r="C18" s="13" t="s">
        <v>44</v>
      </c>
      <c r="D18" s="13">
        <v>3.0</v>
      </c>
      <c r="E18" s="17" t="s">
        <v>48</v>
      </c>
      <c r="F18" s="18" t="s">
        <v>49</v>
      </c>
      <c r="G18" s="18" t="s">
        <v>50</v>
      </c>
    </row>
    <row r="19" ht="22.5" customHeight="1">
      <c r="A19" s="11">
        <v>10.0</v>
      </c>
      <c r="B19" s="12" t="s">
        <v>37</v>
      </c>
      <c r="C19" s="13" t="s">
        <v>22</v>
      </c>
      <c r="D19" s="13">
        <v>3.0</v>
      </c>
      <c r="E19" s="14" t="s">
        <v>51</v>
      </c>
      <c r="F19" s="15" t="s">
        <v>52</v>
      </c>
      <c r="G19" s="15" t="s">
        <v>53</v>
      </c>
    </row>
    <row r="20" ht="244.5" customHeight="1">
      <c r="A20" s="11">
        <v>11.0</v>
      </c>
      <c r="B20" s="12" t="s">
        <v>37</v>
      </c>
      <c r="C20" s="13" t="s">
        <v>26</v>
      </c>
      <c r="D20" s="13">
        <v>3.0</v>
      </c>
      <c r="E20" s="14" t="s">
        <v>54</v>
      </c>
      <c r="F20" s="15" t="s">
        <v>55</v>
      </c>
      <c r="G20" s="15" t="s">
        <v>56</v>
      </c>
    </row>
    <row r="21" ht="22.5" customHeight="1">
      <c r="A21" s="11">
        <v>12.0</v>
      </c>
      <c r="B21" s="12" t="s">
        <v>37</v>
      </c>
      <c r="C21" s="13" t="s">
        <v>26</v>
      </c>
      <c r="D21" s="13">
        <v>1.0</v>
      </c>
      <c r="E21" s="14" t="s">
        <v>57</v>
      </c>
      <c r="F21" s="15" t="s">
        <v>58</v>
      </c>
      <c r="G21" s="15" t="s">
        <v>59</v>
      </c>
    </row>
    <row r="22" ht="22.5" customHeight="1">
      <c r="A22" s="11">
        <v>13.0</v>
      </c>
      <c r="B22" s="12" t="s">
        <v>60</v>
      </c>
      <c r="C22" s="13" t="s">
        <v>17</v>
      </c>
      <c r="D22" s="13">
        <v>3.0</v>
      </c>
      <c r="E22" s="17" t="s">
        <v>61</v>
      </c>
      <c r="F22" s="18" t="s">
        <v>62</v>
      </c>
      <c r="G22" s="18" t="s">
        <v>63</v>
      </c>
    </row>
    <row r="23" ht="22.5" customHeight="1">
      <c r="A23" s="11">
        <v>14.0</v>
      </c>
      <c r="B23" s="12" t="s">
        <v>64</v>
      </c>
      <c r="C23" s="13" t="s">
        <v>17</v>
      </c>
      <c r="D23" s="13">
        <v>2.0</v>
      </c>
      <c r="E23" s="14" t="s">
        <v>65</v>
      </c>
      <c r="F23" s="15" t="s">
        <v>66</v>
      </c>
      <c r="G23" s="15" t="s">
        <v>67</v>
      </c>
    </row>
    <row r="24" ht="22.5" customHeight="1">
      <c r="A24" s="11">
        <v>15.0</v>
      </c>
      <c r="B24" s="12" t="s">
        <v>64</v>
      </c>
      <c r="C24" s="13" t="s">
        <v>26</v>
      </c>
      <c r="D24" s="13">
        <v>3.0</v>
      </c>
      <c r="E24" s="14" t="s">
        <v>68</v>
      </c>
      <c r="F24" s="15" t="s">
        <v>69</v>
      </c>
      <c r="G24" s="15" t="s">
        <v>70</v>
      </c>
    </row>
    <row r="25" ht="22.5" customHeight="1">
      <c r="A25" s="11">
        <v>16.0</v>
      </c>
      <c r="B25" s="12" t="s">
        <v>64</v>
      </c>
      <c r="C25" s="13" t="s">
        <v>44</v>
      </c>
      <c r="D25" s="13">
        <v>4.0</v>
      </c>
      <c r="E25" s="14" t="s">
        <v>71</v>
      </c>
      <c r="F25" s="15" t="s">
        <v>72</v>
      </c>
      <c r="G25" s="15" t="s">
        <v>73</v>
      </c>
    </row>
    <row r="26" ht="22.5" customHeight="1">
      <c r="A26" s="11">
        <v>17.0</v>
      </c>
      <c r="B26" s="12" t="s">
        <v>74</v>
      </c>
      <c r="C26" s="13" t="s">
        <v>17</v>
      </c>
      <c r="D26" s="13">
        <v>4.0</v>
      </c>
      <c r="E26" s="14" t="s">
        <v>75</v>
      </c>
      <c r="F26" s="15" t="s">
        <v>76</v>
      </c>
      <c r="G26" s="15" t="s">
        <v>77</v>
      </c>
    </row>
    <row r="27" ht="22.5" customHeight="1">
      <c r="A27" s="11">
        <v>18.0</v>
      </c>
      <c r="B27" s="12" t="s">
        <v>74</v>
      </c>
      <c r="C27" s="13" t="s">
        <v>17</v>
      </c>
      <c r="D27" s="13">
        <v>3.0</v>
      </c>
      <c r="E27" s="14" t="s">
        <v>78</v>
      </c>
      <c r="F27" s="15" t="s">
        <v>79</v>
      </c>
      <c r="G27" s="15" t="s">
        <v>80</v>
      </c>
    </row>
    <row r="28" ht="22.5" customHeight="1">
      <c r="A28" s="11">
        <v>19.0</v>
      </c>
      <c r="B28" s="12" t="s">
        <v>74</v>
      </c>
      <c r="C28" s="13" t="s">
        <v>81</v>
      </c>
      <c r="D28" s="13">
        <v>2.0</v>
      </c>
      <c r="E28" s="14" t="s">
        <v>82</v>
      </c>
      <c r="F28" s="15" t="s">
        <v>83</v>
      </c>
      <c r="G28" s="15" t="s">
        <v>84</v>
      </c>
    </row>
    <row r="29" ht="22.5" customHeight="1">
      <c r="A29" s="11">
        <v>20.0</v>
      </c>
      <c r="B29" s="12" t="s">
        <v>74</v>
      </c>
      <c r="C29" s="13" t="s">
        <v>81</v>
      </c>
      <c r="D29" s="13">
        <v>2.0</v>
      </c>
      <c r="E29" s="14" t="s">
        <v>85</v>
      </c>
      <c r="F29" s="18" t="s">
        <v>86</v>
      </c>
      <c r="G29" s="18" t="s">
        <v>87</v>
      </c>
    </row>
    <row r="30" ht="22.5" customHeight="1">
      <c r="A30" s="11">
        <v>21.0</v>
      </c>
      <c r="B30" s="12" t="s">
        <v>74</v>
      </c>
      <c r="C30" s="13" t="s">
        <v>26</v>
      </c>
      <c r="D30" s="13">
        <v>2.0</v>
      </c>
      <c r="E30" s="14" t="s">
        <v>88</v>
      </c>
      <c r="F30" s="15" t="s">
        <v>89</v>
      </c>
      <c r="G30" s="15" t="s">
        <v>90</v>
      </c>
    </row>
    <row r="31" ht="22.5" customHeight="1">
      <c r="A31" s="11">
        <v>22.0</v>
      </c>
      <c r="B31" s="12" t="s">
        <v>74</v>
      </c>
      <c r="C31" s="13" t="s">
        <v>26</v>
      </c>
      <c r="D31" s="13">
        <v>2.0</v>
      </c>
      <c r="E31" s="14" t="s">
        <v>91</v>
      </c>
      <c r="F31" s="15" t="s">
        <v>92</v>
      </c>
      <c r="G31" s="15" t="s">
        <v>93</v>
      </c>
    </row>
    <row r="32" ht="22.5" customHeight="1">
      <c r="A32" s="11">
        <v>23.0</v>
      </c>
      <c r="B32" s="12" t="s">
        <v>94</v>
      </c>
      <c r="C32" s="13" t="s">
        <v>26</v>
      </c>
      <c r="D32" s="13">
        <v>2.0</v>
      </c>
      <c r="E32" s="14" t="s">
        <v>95</v>
      </c>
      <c r="F32" s="15" t="s">
        <v>96</v>
      </c>
      <c r="G32" s="15" t="s">
        <v>97</v>
      </c>
    </row>
    <row r="33" ht="22.5" customHeight="1">
      <c r="A33" s="11">
        <v>24.0</v>
      </c>
      <c r="B33" s="12" t="s">
        <v>94</v>
      </c>
      <c r="C33" s="13" t="s">
        <v>26</v>
      </c>
      <c r="D33" s="13">
        <v>1.0</v>
      </c>
      <c r="E33" s="14" t="s">
        <v>98</v>
      </c>
      <c r="F33" s="15" t="s">
        <v>99</v>
      </c>
      <c r="G33" s="15" t="s">
        <v>100</v>
      </c>
    </row>
    <row r="34" ht="22.5" customHeight="1">
      <c r="A34" s="11">
        <v>25.0</v>
      </c>
      <c r="B34" s="12" t="s">
        <v>101</v>
      </c>
      <c r="C34" s="13" t="s">
        <v>44</v>
      </c>
      <c r="D34" s="13">
        <v>1.0</v>
      </c>
      <c r="E34" s="17" t="s">
        <v>102</v>
      </c>
      <c r="F34" s="15" t="s">
        <v>103</v>
      </c>
      <c r="G34" s="18" t="s">
        <v>104</v>
      </c>
    </row>
    <row r="35" ht="22.5" customHeight="1">
      <c r="A35" s="11">
        <v>26.0</v>
      </c>
      <c r="B35" s="12" t="s">
        <v>101</v>
      </c>
      <c r="C35" s="13" t="s">
        <v>44</v>
      </c>
      <c r="D35" s="13">
        <v>2.0</v>
      </c>
      <c r="E35" s="17" t="s">
        <v>105</v>
      </c>
      <c r="F35" s="15" t="s">
        <v>106</v>
      </c>
      <c r="G35" s="18" t="s">
        <v>107</v>
      </c>
    </row>
    <row r="36" ht="22.5" customHeight="1">
      <c r="A36" s="11">
        <v>27.0</v>
      </c>
      <c r="B36" s="12" t="s">
        <v>101</v>
      </c>
      <c r="C36" s="13" t="s">
        <v>44</v>
      </c>
      <c r="D36" s="13">
        <v>3.0</v>
      </c>
      <c r="E36" s="17" t="s">
        <v>108</v>
      </c>
      <c r="F36" s="15" t="s">
        <v>109</v>
      </c>
      <c r="G36" s="18" t="s">
        <v>110</v>
      </c>
    </row>
    <row r="37" ht="22.5" customHeight="1">
      <c r="A37" s="11">
        <v>28.0</v>
      </c>
      <c r="B37" s="19"/>
      <c r="C37" s="20"/>
      <c r="D37" s="20"/>
      <c r="E37" s="14"/>
      <c r="F37" s="15"/>
      <c r="G37" s="15"/>
    </row>
    <row r="38" ht="22.5" customHeight="1">
      <c r="A38" s="11">
        <v>29.0</v>
      </c>
      <c r="B38" s="19"/>
      <c r="C38" s="20"/>
      <c r="D38" s="20"/>
      <c r="E38" s="14"/>
      <c r="F38" s="15"/>
      <c r="G38" s="15"/>
    </row>
    <row r="39" ht="22.5" customHeight="1">
      <c r="A39" s="11">
        <v>30.0</v>
      </c>
      <c r="B39" s="19"/>
      <c r="C39" s="20"/>
      <c r="D39" s="20"/>
      <c r="E39" s="14"/>
      <c r="F39" s="15"/>
      <c r="G39" s="15"/>
    </row>
    <row r="40" ht="22.5" customHeight="1">
      <c r="A40" s="11">
        <v>31.0</v>
      </c>
      <c r="B40" s="19"/>
      <c r="C40" s="20"/>
      <c r="D40" s="20"/>
      <c r="E40" s="17"/>
      <c r="F40" s="15"/>
      <c r="G40" s="15"/>
    </row>
    <row r="41" ht="22.5" customHeight="1">
      <c r="A41" s="11">
        <v>32.0</v>
      </c>
      <c r="B41" s="19"/>
      <c r="C41" s="20"/>
      <c r="D41" s="20"/>
      <c r="E41" s="14"/>
      <c r="F41" s="15"/>
      <c r="G41" s="21"/>
    </row>
    <row r="42" ht="22.5" customHeight="1">
      <c r="A42" s="11">
        <v>33.0</v>
      </c>
      <c r="B42" s="19"/>
      <c r="C42" s="20"/>
      <c r="D42" s="20"/>
      <c r="E42" s="16"/>
      <c r="F42" s="15"/>
      <c r="G42" s="15"/>
    </row>
    <row r="43" ht="22.5" customHeight="1">
      <c r="A43" s="11">
        <v>34.0</v>
      </c>
      <c r="B43" s="19"/>
      <c r="C43" s="20"/>
      <c r="D43" s="20"/>
      <c r="E43" s="14"/>
      <c r="F43" s="15"/>
      <c r="G43" s="15"/>
    </row>
    <row r="44" ht="22.5" customHeight="1">
      <c r="A44" s="11">
        <v>35.0</v>
      </c>
      <c r="B44" s="19"/>
      <c r="C44" s="20"/>
      <c r="D44" s="20"/>
      <c r="E44" s="17"/>
      <c r="F44" s="15"/>
      <c r="G44" s="15"/>
    </row>
    <row r="45" ht="22.5" customHeight="1">
      <c r="A45" s="11">
        <v>36.0</v>
      </c>
      <c r="B45" s="19"/>
      <c r="C45" s="20"/>
      <c r="D45" s="20"/>
      <c r="E45" s="16"/>
      <c r="F45" s="15"/>
      <c r="G45" s="15"/>
    </row>
    <row r="46" ht="22.5" customHeight="1">
      <c r="A46" s="11">
        <v>37.0</v>
      </c>
      <c r="B46" s="19"/>
      <c r="C46" s="20"/>
      <c r="D46" s="20"/>
      <c r="E46" s="16"/>
      <c r="F46" s="15"/>
      <c r="G46" s="21"/>
    </row>
    <row r="47" ht="22.5" customHeight="1">
      <c r="A47" s="11">
        <v>38.0</v>
      </c>
      <c r="B47" s="19"/>
      <c r="C47" s="20"/>
      <c r="D47" s="20"/>
      <c r="E47" s="14"/>
      <c r="F47" s="15"/>
      <c r="G47" s="15"/>
    </row>
    <row r="48" ht="22.5" customHeight="1">
      <c r="A48" s="11">
        <v>39.0</v>
      </c>
      <c r="B48" s="19"/>
      <c r="C48" s="20"/>
      <c r="D48" s="20"/>
      <c r="E48" s="14"/>
      <c r="F48" s="15"/>
      <c r="G48" s="15"/>
    </row>
    <row r="49" ht="22.5" customHeight="1">
      <c r="A49" s="11">
        <v>40.0</v>
      </c>
      <c r="B49" s="19"/>
      <c r="C49" s="20"/>
      <c r="D49" s="20"/>
      <c r="E49" s="17"/>
      <c r="F49" s="21"/>
      <c r="G49" s="15"/>
    </row>
    <row r="50" ht="22.5" customHeight="1">
      <c r="A50" s="11">
        <v>41.0</v>
      </c>
      <c r="B50" s="19"/>
      <c r="C50" s="20"/>
      <c r="D50" s="20"/>
      <c r="E50" s="14"/>
      <c r="F50" s="15"/>
      <c r="G50" s="21"/>
    </row>
    <row r="51" ht="22.5" customHeight="1">
      <c r="A51" s="11">
        <v>42.0</v>
      </c>
      <c r="B51" s="19"/>
      <c r="C51" s="20"/>
      <c r="D51" s="20"/>
      <c r="E51" s="17"/>
      <c r="F51" s="15"/>
      <c r="G51" s="15"/>
    </row>
    <row r="52" ht="22.5" customHeight="1">
      <c r="A52" s="11">
        <v>43.0</v>
      </c>
      <c r="B52" s="19"/>
      <c r="C52" s="20"/>
      <c r="D52" s="20"/>
      <c r="E52" s="14"/>
      <c r="F52" s="21"/>
      <c r="G52" s="15"/>
    </row>
    <row r="53" ht="22.5" customHeight="1">
      <c r="A53" s="11">
        <v>44.0</v>
      </c>
      <c r="B53" s="19"/>
      <c r="C53" s="20"/>
      <c r="D53" s="20"/>
      <c r="E53" s="22"/>
      <c r="F53" s="23"/>
      <c r="G53" s="24"/>
    </row>
    <row r="54" ht="22.5" customHeight="1">
      <c r="A54" s="11">
        <v>45.0</v>
      </c>
      <c r="B54" s="19"/>
      <c r="C54" s="20"/>
      <c r="D54" s="20"/>
      <c r="E54" s="22"/>
      <c r="F54" s="24"/>
      <c r="G54" s="24"/>
    </row>
    <row r="55" ht="22.5" customHeight="1">
      <c r="A55" s="11">
        <v>46.0</v>
      </c>
      <c r="B55" s="19"/>
      <c r="C55" s="20"/>
      <c r="D55" s="20"/>
      <c r="E55" s="22"/>
      <c r="F55" s="24"/>
      <c r="G55" s="24"/>
    </row>
    <row r="56" ht="22.5" customHeight="1">
      <c r="A56" s="11">
        <v>47.0</v>
      </c>
      <c r="B56" s="19"/>
      <c r="C56" s="20"/>
      <c r="D56" s="20"/>
      <c r="E56" s="22"/>
      <c r="F56" s="24"/>
      <c r="G56" s="24"/>
    </row>
    <row r="57" ht="22.5" customHeight="1">
      <c r="A57" s="11">
        <v>48.0</v>
      </c>
      <c r="B57" s="19"/>
      <c r="C57" s="20"/>
      <c r="D57" s="20"/>
      <c r="E57" s="22"/>
      <c r="F57" s="24"/>
      <c r="G57" s="24"/>
    </row>
    <row r="58" ht="22.5" customHeight="1">
      <c r="A58" s="11">
        <v>49.0</v>
      </c>
      <c r="B58" s="19"/>
      <c r="C58" s="20"/>
      <c r="D58" s="20"/>
      <c r="E58" s="22"/>
      <c r="F58" s="24"/>
      <c r="G58" s="24"/>
    </row>
    <row r="59" ht="22.5" customHeight="1">
      <c r="A59" s="11">
        <v>50.0</v>
      </c>
      <c r="B59" s="19"/>
      <c r="C59" s="20"/>
      <c r="D59" s="20"/>
      <c r="E59" s="22"/>
      <c r="F59" s="24"/>
      <c r="G59" s="24"/>
    </row>
    <row r="60" ht="22.5" customHeight="1">
      <c r="A60" s="11">
        <v>51.0</v>
      </c>
      <c r="B60" s="19"/>
      <c r="C60" s="20"/>
      <c r="D60" s="20"/>
      <c r="E60" s="22"/>
      <c r="F60" s="24"/>
      <c r="G60" s="24"/>
    </row>
    <row r="61" ht="22.5" customHeight="1">
      <c r="A61" s="11">
        <v>52.0</v>
      </c>
      <c r="B61" s="19"/>
      <c r="C61" s="20"/>
      <c r="D61" s="20"/>
      <c r="E61" s="22"/>
      <c r="F61" s="24"/>
      <c r="G61" s="24"/>
    </row>
    <row r="62" ht="22.5" customHeight="1">
      <c r="A62" s="11">
        <v>53.0</v>
      </c>
      <c r="B62" s="19"/>
      <c r="C62" s="20"/>
      <c r="D62" s="20"/>
      <c r="E62" s="22"/>
      <c r="F62" s="24"/>
      <c r="G62" s="24"/>
    </row>
    <row r="63" ht="22.5" customHeight="1">
      <c r="A63" s="11">
        <v>54.0</v>
      </c>
      <c r="B63" s="19"/>
      <c r="C63" s="20"/>
      <c r="D63" s="20"/>
      <c r="E63" s="22"/>
      <c r="F63" s="24"/>
      <c r="G63" s="24"/>
    </row>
    <row r="64" ht="22.5" customHeight="1">
      <c r="A64" s="11">
        <v>55.0</v>
      </c>
      <c r="B64" s="19"/>
      <c r="C64" s="20"/>
      <c r="D64" s="20"/>
      <c r="E64" s="22"/>
      <c r="F64" s="24"/>
      <c r="G64" s="24"/>
    </row>
    <row r="65" ht="22.5" customHeight="1">
      <c r="A65" s="11">
        <v>56.0</v>
      </c>
      <c r="B65" s="19"/>
      <c r="C65" s="20"/>
      <c r="D65" s="20"/>
      <c r="E65" s="22"/>
      <c r="F65" s="24"/>
      <c r="G65" s="24"/>
    </row>
    <row r="66" ht="22.5" customHeight="1">
      <c r="A66" s="11">
        <v>57.0</v>
      </c>
      <c r="B66" s="19"/>
      <c r="C66" s="20"/>
      <c r="D66" s="20"/>
      <c r="E66" s="22"/>
      <c r="F66" s="24"/>
      <c r="G66" s="24"/>
    </row>
  </sheetData>
  <customSheetViews>
    <customSheetView guid="{A184C337-5012-460E-86A2-9BDB5CCEF3DC}" filter="1" showAutoFilter="1">
      <autoFilter ref="$A$9:$G$66"/>
    </customSheetView>
    <customSheetView guid="{627688DF-5323-4728-A033-1442C3A4CB16}" filter="1" showAutoFilter="1">
      <autoFilter ref="$A$9:$G$66"/>
    </customSheetView>
    <customSheetView guid="{3D9B97E6-2BE8-4749-9DBC-3438722682DF}" filter="1" showAutoFilter="1">
      <autoFilter ref="$A$9:$G$66"/>
    </customSheetView>
  </customSheetViews>
  <mergeCells count="1">
    <mergeCell ref="B1:E1"/>
  </mergeCells>
  <dataValidations>
    <dataValidation type="list" allowBlank="1" sqref="B10:B66">
      <formula1>"H1: Visibility of System Status,H2: Match b/w System &amp; World,H3: User Control &amp; Freedom,H4: Consistency &amp; Standards,H5: Error Prevention,H6: Recognition not Recall,H7: Flexibility &amp; Efficiency of Use,H8: Aesthetic &amp; Minimalist Design,H9: Help Users with E"&amp;"rrors,H10: Help &amp; Documentation"</formula1>
    </dataValidation>
    <dataValidation type="list" allowBlank="1" sqref="D10:D66">
      <formula1>"0,1,2,3,4"</formula1>
    </dataValidation>
    <dataValidation type="list" allowBlank="1" sqref="C10:C66">
      <formula1>"1. Simple Task,2. Moderate Task,3. Complex Task,4. All Tasks,5. Extra Violations"</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5"/>
  </cols>
  <sheetData>
    <row r="1">
      <c r="A1" s="25" t="s">
        <v>10</v>
      </c>
      <c r="B1" s="26" t="s">
        <v>111</v>
      </c>
      <c r="D1" s="25" t="s">
        <v>112</v>
      </c>
      <c r="E1" s="27"/>
      <c r="F1" s="27"/>
      <c r="G1" s="28"/>
    </row>
    <row r="2">
      <c r="A2" s="29" t="s">
        <v>16</v>
      </c>
      <c r="B2" s="30">
        <f>COUNTIF('Individual Heuristic Evaluation'!B:B, "H1: Visibility of System Status")
</f>
        <v>1</v>
      </c>
      <c r="D2" s="31" t="s">
        <v>113</v>
      </c>
      <c r="G2" s="32"/>
    </row>
    <row r="3">
      <c r="A3" s="33" t="s">
        <v>21</v>
      </c>
      <c r="B3" s="34">
        <f>COUNTIF('Individual Heuristic Evaluation'!B:B, "H2: Match b/w System &amp; World")
</f>
        <v>2</v>
      </c>
      <c r="D3" s="35"/>
      <c r="G3" s="32"/>
    </row>
    <row r="4">
      <c r="A4" s="33" t="s">
        <v>30</v>
      </c>
      <c r="B4" s="34">
        <f>COUNTIF('Individual Heuristic Evaluation'!B:B, "H3: User Control &amp; Freedom")
</f>
        <v>2</v>
      </c>
      <c r="D4" s="35"/>
      <c r="G4" s="32"/>
    </row>
    <row r="5">
      <c r="A5" s="33" t="s">
        <v>37</v>
      </c>
      <c r="B5" s="34">
        <f>COUNTIF('Individual Heuristic Evaluation'!B:B, "H4: Consistency &amp; Standards")
</f>
        <v>7</v>
      </c>
      <c r="D5" s="35"/>
      <c r="G5" s="32"/>
    </row>
    <row r="6">
      <c r="A6" s="33" t="s">
        <v>60</v>
      </c>
      <c r="B6" s="34">
        <f>COUNTIF('Individual Heuristic Evaluation'!B:B, "H5: Error Prevention")
</f>
        <v>1</v>
      </c>
      <c r="D6" s="35"/>
      <c r="G6" s="32"/>
    </row>
    <row r="7">
      <c r="A7" s="33" t="s">
        <v>64</v>
      </c>
      <c r="B7" s="34">
        <f>COUNTIF('Individual Heuristic Evaluation'!B:B, "H6: Recognition not Recall")
</f>
        <v>3</v>
      </c>
      <c r="D7" s="35"/>
      <c r="G7" s="32"/>
    </row>
    <row r="8">
      <c r="A8" s="33" t="s">
        <v>74</v>
      </c>
      <c r="B8" s="34">
        <f>COUNTIF('Individual Heuristic Evaluation'!B:B, "H7: Flexibility &amp; Efficiency of Use")
</f>
        <v>6</v>
      </c>
      <c r="D8" s="35"/>
      <c r="G8" s="32"/>
    </row>
    <row r="9">
      <c r="A9" s="33" t="s">
        <v>94</v>
      </c>
      <c r="B9" s="34">
        <f>COUNTIF('Individual Heuristic Evaluation'!B:B, "H8: Aesthetic &amp; Minimalist Design")
</f>
        <v>2</v>
      </c>
      <c r="D9" s="35"/>
      <c r="G9" s="32"/>
    </row>
    <row r="10">
      <c r="A10" s="33" t="s">
        <v>114</v>
      </c>
      <c r="B10" s="34">
        <f>COUNTIF('Individual Heuristic Evaluation'!B:B, "H9: Help Users with Errors")
</f>
        <v>0</v>
      </c>
      <c r="D10" s="35"/>
      <c r="G10" s="32"/>
    </row>
    <row r="11">
      <c r="A11" s="33" t="s">
        <v>101</v>
      </c>
      <c r="B11" s="34">
        <f>COUNTIF('Individual Heuristic Evaluation'!B:B, "H10: Help &amp; Documentation")
</f>
        <v>3</v>
      </c>
      <c r="D11" s="35"/>
      <c r="G11" s="32"/>
    </row>
    <row r="12">
      <c r="A12" s="33"/>
      <c r="B12" s="34"/>
      <c r="D12" s="35"/>
      <c r="G12" s="32"/>
    </row>
    <row r="13">
      <c r="A13" s="33"/>
      <c r="B13" s="34"/>
      <c r="D13" s="35"/>
      <c r="G13" s="32"/>
    </row>
    <row r="14" ht="445.5" customHeight="1">
      <c r="A14" s="36" t="s">
        <v>115</v>
      </c>
      <c r="B14" s="37">
        <f>SUM(B2:B13)</f>
        <v>27</v>
      </c>
      <c r="D14" s="38"/>
      <c r="E14" s="39"/>
      <c r="F14" s="39"/>
      <c r="G14" s="40"/>
    </row>
  </sheetData>
  <mergeCells count="2">
    <mergeCell ref="D1:G1"/>
    <mergeCell ref="D2:G14"/>
  </mergeCells>
  <drawing r:id="rId1"/>
</worksheet>
</file>